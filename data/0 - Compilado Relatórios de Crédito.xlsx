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cquavero-my.sharepoint.com/personal/jose_zanichelli_avin_com_br/Documents/Documentos/Rating/"/>
    </mc:Choice>
  </mc:AlternateContent>
  <xr:revisionPtr revIDLastSave="81" documentId="8_{3C157A89-BADB-4FA9-8190-94F55AE9C244}" xr6:coauthVersionLast="47" xr6:coauthVersionMax="47" xr10:uidLastSave="{9F6A1B20-F69C-4554-982A-49886F06D268}"/>
  <bookViews>
    <workbookView xWindow="-108" yWindow="-108" windowWidth="23256" windowHeight="12576" xr2:uid="{B51BBA0F-CA22-4792-BA59-EBAA2B205FC2}"/>
  </bookViews>
  <sheets>
    <sheet name="Relatórios de Crédito" sheetId="1" r:id="rId1"/>
    <sheet name="Planilh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<sst xmlns="http://schemas.openxmlformats.org/spreadsheetml/2006/main" count="126" uniqueCount="75">
  <si>
    <t>Relatórios Enviados</t>
  </si>
  <si>
    <t>Empresa / Emissão</t>
  </si>
  <si>
    <t>Data de Envio</t>
  </si>
  <si>
    <t>Rating - X/100</t>
  </si>
  <si>
    <t>Opinião - Independente de pontuação de Rating</t>
  </si>
  <si>
    <t>Conclusão</t>
  </si>
  <si>
    <t>Relatórios prontos para enviar</t>
  </si>
  <si>
    <t>FSBio</t>
  </si>
  <si>
    <t>Empresa</t>
  </si>
  <si>
    <t>Neutro, boa evolução</t>
  </si>
  <si>
    <t>Simpar</t>
  </si>
  <si>
    <t>Neutro, requer atenção</t>
  </si>
  <si>
    <t>Raizen</t>
  </si>
  <si>
    <t>CSN</t>
  </si>
  <si>
    <t>N/A</t>
  </si>
  <si>
    <t>Fundo Patria Infra</t>
  </si>
  <si>
    <t>Emissão</t>
  </si>
  <si>
    <t>Positivo, requer atenção quanto a gestão</t>
  </si>
  <si>
    <t>Relatórios em produção</t>
  </si>
  <si>
    <t>Cra Seara(JBS)</t>
  </si>
  <si>
    <t>Positivo</t>
  </si>
  <si>
    <t>Armac</t>
  </si>
  <si>
    <t>Brava Energia</t>
  </si>
  <si>
    <t>JSL (Texto, E-Mail)</t>
  </si>
  <si>
    <t>Origem Energia</t>
  </si>
  <si>
    <t>Sparta CDII11</t>
  </si>
  <si>
    <t>Oncoclinicas</t>
  </si>
  <si>
    <t>Negativo</t>
  </si>
  <si>
    <t>GPA</t>
  </si>
  <si>
    <t>Requer Atenção</t>
  </si>
  <si>
    <t>BTG Pactual CRI Prime</t>
  </si>
  <si>
    <t>Positivo, atenção a riscos</t>
  </si>
  <si>
    <t>UTE Pampa Sul</t>
  </si>
  <si>
    <t>Regera Grid</t>
  </si>
  <si>
    <t>Positivo, atenção a ramp-up operacional</t>
  </si>
  <si>
    <t>CRI Cotriba - Opea 84</t>
  </si>
  <si>
    <t>Negativo (Default)</t>
  </si>
  <si>
    <t>Atenção</t>
  </si>
  <si>
    <t>CRI Bait Incorporadora</t>
  </si>
  <si>
    <t>Eldorado Celulose</t>
  </si>
  <si>
    <t>Neutro</t>
  </si>
  <si>
    <t>Isa Energia</t>
  </si>
  <si>
    <t>Minerva Foods - 3T25</t>
  </si>
  <si>
    <t>Unidas</t>
  </si>
  <si>
    <t>Vicunha</t>
  </si>
  <si>
    <t>Eletropaulo - Enel SP</t>
  </si>
  <si>
    <t>Alta Energia</t>
  </si>
  <si>
    <t>Grupo AIZ</t>
  </si>
  <si>
    <t>A FSBio hoje é dos principais players do mercado de Etanol, não limitado a somente ao Etanol de Milho.
Nos ultimos anos houve variação significativa nos resultados da companhia. Isto devido aos custos de operação das usinas e custo apertado na produção de etanol de milho em relação ao preço do Etanol. O
resultado positivo recente vem exatamente da inversão deste cenário. 
Com liquidez expressiva, a companhia é capaz de fazer frentes as divisas e as necessidades de Capex das Usinas.
Caso a companhia consiga trabalhar os custos em relação ao preço de venda do Etanol, a companhia poderá ter um resultado interessante no período de safra 2025/2026
Quanto ao setor, o Etanol de Milho abre novos mercados onde Etanol de cana-de-açúcar não é eficaz, como por exemplo, o norte-nordeste, onde os preços do etanol de cana-de-açúcar não são competitivos
contra a gasolina.</t>
  </si>
  <si>
    <t>O grupo Simpar é um grupo com mix diferenciado de serviços, nos anos recentes tem operado com um nível alto de alavancagem, e com custo de financiamento elevado, dado o atual cenário macro.
Um dos grandes detratores de resultado da companhia foram as despesas financeiras, que representam os pagamentos das obrigações com empréstimos (Juros e Amortização).
A companhia possui liquidez expressiva, capaz de fazer frente as obrigações de juros no curto prazo, no entanto requer atenção quando a redução da alavancagem e o retorno a lucratividade.
Mesmo com bom desempenho operacional, a companhia reportou perdas R$ 36 milhões. Os gastos com o endividamento foram um fator relevante para o resultado negativo no trimestre. A companhia tem a
disposição cerca de R$ 3 bilhões em ativos ociosos, ativos que tem potencial de melhorar o resultado operacional da companhia.
Com o recurso da venda da Ciclus, R$ 1,1 bilhão, a Simpar deve reduzir cerca de 25% o endividamento na holding. O impacto no consolidado é menos relevante.</t>
  </si>
  <si>
    <t>A Raizen adotou nos últimos anos uma estratégia de crescimento agressivo financiada por endividamento, um movimento que fazia sentido quando a Selic estava em patamares historicamente baixos (2% a 5%).
Contudo, a rápida escalada dos juros para 15%, combinada com problemas operacionais severos (seca, queimadas e produtividade abaixo do esperado), resultou em uma situação crítica: alta alavancagem, margens
comprimidas e fluxos de caixa negativos.
Esse quadro demanda ações corretivas de curto prazo para estancar a queima de caixa e estabilizar a estrutura de capital.
A venda de ativos em andamento e uma potencial injeção de capital pelos controladores são os principais vetores que podem viabilizar a recuperação da companhia no médio prazo.
É importante destacar que a Raizen possui liquidez suficiente para manter suas operações e honrar os compromissos de dívida nos próximos anos. No entanto, a desalavancagem orgânica, aquela em que o próprio fluxo de caixa operacional é responsável por amortizar as dívidas, parece inviável no cenário atual.
Isto seria a evidencia da necessidade de uma nova capitalização, embora até o momento existam apenas declarações de intenção por parte da Cosan e da Shell.
Considerando a relevância estratégica da Raizen para a Cosan (sua principal controlada) e os sinais recentes da Shell, de que avalia alternativas para apoiar a empresa, há expectativa de mercado de que os controladores atuem para equacionar a situação financeira da companhia.</t>
  </si>
  <si>
    <t>Análise Interna:
CSN como um grupo, abrangendo seus diversos segmentos operacionais como Siderurgia, Mineração, Cimentos, Logística e Energia, revela um modelo de negócios diversificado e verticalizado que confere resiliência e solidez, especialmente em ambientes de mercado desafiadores.
É uma companhia que ainda requer atenção, mesmo com um lucro contábil ajustado e menor queima de caixa. A companhia mantém firme posição de caixa para fazer frente as suas obrigações.
Atualização 3º Trimestre 2025:
A Receita Líquida teve um crescimento expressivo de 10,3%. impulsionada pela retomada dos preços do minério de ferro e por um desempenho favorável nos segmentos de cimentos e logística.
O EBITDA Ajustado aumentou 5%, alcançando R$ 3.319 milhões, com a margem subindo para 26,8%. Operacionalmente a companhia tem fluxo de caixa operacional positivo, com Capex e obrigações com
endividamento sendo grandes detratores do fluxo de caixa da companhia.
A alavancagem atingiu 3,14x no 3T25, devido a uma melhor relação dívida / EBITDA.
O Lucro Liquido apurado no 3º trimestre leva em consideração reversão de impostos sobre o prejuízo de 2024</t>
  </si>
  <si>
    <t>Acreditamos que a ARMAC no curto prazo não apresente riscos significativos de default, a situação de caixa atual frente a os obrigações, e garante um certo nível de confiança que a companhia seria capaz de suportar estresses do mercado que opera sem comprometer a sua capacidade de pagamentos de forma imediata.
Com somente 2,5% do marketshare, e ainda assim sendo a maior companhia do segmento, a ARMAC tem um mercado possível interessante pela frente. Dado a grande pulverização, o crescimento da ARMAC pode descolar do desempenho da economia caso a companhia consiga expandir o seu alcance operacional e de serviços, enquanto mantem uma boa liquidez em caixa e com conservadorismo no CAPEX.
A companhia irá realizar uma emissão de R$ 500 milhões nos ´próximos meses, para reforço de caixa e de livre uso da companhia. Considerando o caixa ao final de 2º Trimestre, elevará o caixa da companhia para de
R$ 1,1 bilhão.
Necessário atenção ao Longo Prazo, pois em 2028 iniciam-se amortizações de dívida em grande volume. Inclusive a nova emissão deve ter seu vencimento para 2030, ainda não temos detalhes da curva de amortização da nova dívida. A Alavancagem com a nova dívida deve ficar acima de 3X EBITDA durante os próximos trimestres.</t>
  </si>
  <si>
    <t xml:space="preserve">A Brava estava em processo de reestruturação de processos e organizacional, e com isso os diretores anteriores de ambos os cargos apresentaram cartas de renúncia ao conselho. A operação de Downstream será integrada ao Onshore. A companhia pretende criar mais sinergias entre as diferentes área de operação. A mudança repentina de diretores precisa ser observada com atenção.
No dia 23 de Outubro de 2025, data desta análise, a companhia definiu as pessoas que assumem os cargos de CFO e diretor de RI, sendo aprovado pelo conselho Luiz Carvalho como CFO e diretor de Ri, unificando assim as duas cadeiras. Possui experiência anterior em Petróleo e Gás, com passagens pelo banco BTG, UBS e HSBC
A companhia teve uma lucratividade impressionante nestes dois primeiros semestres do ano, no entanto ainda está em estabilização. Possui também um elevado lifting cost (Custo operacional de extração), que está em queda mas, ainda assim elevado. Um lifting cost nestes patamares pode pressionar os resultados caso o preço do petróleo esteja inferior a USD 60.
A empresa pode resolve o problema operacional (produção crescendo), mas o problema econômico (lifting cost alto) ainda está em evolução. Ou seja:
• É capaz de fazer 100k barris/dia?
• Sim. Possível até 2026.
• Fazer isso com lifting cost de acima de US$ 10 é viável?
• Difícil, requer mudança estrutural. Elevado para ser lucrativo com preços baixos de petróleo.
Reduzir o lifting cost estruturalmente. Caso não seja resolvido, a Brava sempre será "a petroleira de risco em ciclo baixo" — atrativa apenas em tese otimista de petróleo alto.
A Brava Energia apesar de possuir comprovada experiencia operacional, e muito exposta ao ciclo de comodities, a empresa tende a se beneficiar de um petróleo com valores de barris acima de USD 70.
No Pré-Sal, a média do lifiting cost fica em USD 6. No Oriente médio é USD 3. Noruega e Golfo do México/América é de USD 5. No caso do Shale Oil (EUA e Canada), o lifiting cost é USD 6. </t>
  </si>
  <si>
    <t>A atenção agora se volta contra o evento de 2024, se realmente foi algo pontual por conta da ANP.
Com a produção crescente e diminuição dos custos em 2025, os resultados nos últimos trimestres são superiores ao mesmo período de 2024 e 2023, embora a companhia ainda esteja alavancada quando analisamos os últimos 12 meses, que ainda sofrem impacto das paradas no final do ano passado. A companhia também tem melhorado as margens operacionais.
Embora os últimos anos tenha sido uma montanha-russa de resultados e novidades, para a Origem, o ambiente atual é altamente favorável, especialmente dentro dos próximos 10-15 anos. A empresa está posicionada como fornecedora de gás natural com integração vertical, atendendo necessidade crítica de flexibilidade energética enquanto Brasil escala renováveis.
Após 2035, existem Incertezas. A questão não é se há demanda para o que a Origem oferece (há demanda clara), mas se a empresa consegue executar crescimento ambicioso (triplicar produção até 2028) sem eventos
disruptivos e construir escala suficiente antes que possíveis tecnologias disruptivas (baterias, hidrogênio verde) tornem modelo menos atrativo
.
O Rating da companhia, elaborado pela Fitch, foi revisado ao final de Novembro de 2024, uma atualização rating deve ser divulgado nas próximas semanas. Tendo como base a avaliação da emissão de debentures realizada pela própria Fitch, em 21 de Julho de 2025, é esperado estabilidade do rating da companhia se a mesma continuar a performar como nos últimos dois trimestres.</t>
  </si>
  <si>
    <t>O CDII11 demonstrou trajetória notável de crescimento, evoluindo de uma modesta captação inicial de R$ 30 milhões para ofertas na casa dos centenas de milhões. Com um perfil de risco conservador a moderado, a
maior parte dos ativos em alta qualidade de crédito em termos de nível de rating.
Vale salientar que recentemente a gestora fechou seus outros fundos de debentures de infra, ou seja pararam de captar, visto as dificuldades de alocação. Um ponto importante para o CDII11 é se gestora ira conseguir
alocar os recursos captados em boas operações de crédito, conforme o projetado.
Possui concentração grande no segmento de energia (Produção, Transmissão e Distribuição), conta com uma operação em nível de stress de elevado, e algumas operações que não possuem rating, destoando do núcleo
da carteira de debentures do fundo. O fundo tem constantemente distribuído acima do CDI, conta swap de taxas para CDI. No entanto, falta clareza no acompanhamento da carteira do fundo, com informações muito
básicas sobre os devedores das debentures.
Em resumo, a 6ª emissão não apenas aumenta o CDII11 em escala (maior fundo de infra da B3), e também eleva a rentabilidade da carteira (Spread/Carrego de CDI + 0,9%) com diversificação adicional (167 ativos).
O fundo possui expressiva liquidez no mercado secundário, com volume negociado entre 5 e 6 milhões de reais por dia.</t>
  </si>
  <si>
    <t xml:space="preserve">Relações Politicas Controversas: A agenda pública do presidente Lula mostra que um ou ambos os irmãos apareceram ao lado do presidente em pelo menos cinco eventos públicos desde o ano passado, além de várias reuniões privadas com Lula e seus ministros. Uma doação de US$ 5 milhões feita pela Pilgrim's Pride ao Comitê Inaugural de Trump-Vance evidenciou o crescente alcance global de sua influência
Perspectivas: A empresa pretende acelerar planos de expansão com aquisição 'transformacional' no setor de proteína, focando em alimentos preparados de maior valor agregado. Porém, 16 organizações ambientalistas alertaram sobre riscos climáticos, sociais, regulamentares, de litígio, de reputação e éticos de investir na empresa.
</t>
  </si>
  <si>
    <t>Para investidores, o Pátria representa uma opção sólida em investimentos alternativos. Com uma gama diversa de produtos, e com sucessos em termos de retorno aos investidores. No entanto, se faz necessário uma melhor transparência na comunicação e detalhamento de como estão os ativos investidos. Incluindo operações de crédito, onde os investidores estão mais distantes das empresas tomadoras. 
Balanço geral:
• Sucessos: Múltiplos casos de retornos excepcionais no Private Equity;
• Expertise: Conhecimento profundo em setores-chave da economia;
• Crescimento: Expansão acelerada e bem estruturada;
• Falhas: Caso Tenco e Alphaville mostram que erros podem ser custosos, requer acompanhamento das decisões da gestora;
• Transparência: Necessidade de melhor comunicação em situações adversas, afim de evitar casos semelhantes ao Tenco e
Alphaville;</t>
  </si>
  <si>
    <t>Primeiro Trimestre 2025:
A JSL registrou lucro líquido ajustado de R$ 45 milhões no 1T25, queda de 7,4% comparado ao mesmo período de 2024, impactado principalmente pela alta dos juros (Selic em torno de 14%). Por outro lado, a receita líquida cresceu 12%, atingindo R$ 2,3 bilhões, e o Ebitda aumentou 14,7%, chegando a R$ 454 milhões. Apesar da queda no lucro, o CEO Ramon Alcaraz declarou-se "mais otimista do que no fim de 2024", afirmando que o 1T25 superou as expectativas iniciais
Segundo Trimestre 2025:
No 2T25, a JSL apresentou receita líquida de R$ 2,38 bilhões (alta de 11,1% vs 2T24), Ebitda ajustado de R$ 491,7 milhões (crescimento de 23% vs 2T24) com margem de 21,6%, e lucro líquido ajustado de R$ 36 milhões (alta de 10% vs 2T24). Destaque para a forte redução no capex líquido, que caiu 88,4%, de R$ 151,4 milhões para R$ 17,6 milhões, refletindo uma alocação de capital mais disciplinada</t>
  </si>
  <si>
    <t xml:space="preserve">A Oncoclinicas (ONCO3) passa pelo período mais desafiador de sua história entre agosto e novembro de 2025, marcado por alavancagem insustentável de 4,4x dívida/EBITDA, resultados operacionais fracos no 2T25, e a
aprovação de um terceiro aumento de capital em dois anos no valor de até R$ 2 bilhões.
Durante o terceiro tri realizou a venda de alguns ativos, que espera-se refletir no resultado não recorrente. Também negociou com um acionista, Banco Master, o resgate parcelado de CDBs que a companhia havia
adquirido do Banco Master, no volume entre R$ 20 milhões e R$ 25 milhões por 20 meses. 
O contexto é crítico pois a empresa tem uma dívida líquida de R$ 3,9 bilhões, contra fluxos de caixa negativos e que consome as reservas da companhia, e com o Ebitda pressionado por resultados ruins nos últimos trimestres.
Ainda no trimestre a companhia cancelou o contrato de BTS do complexo Vergueiro em São Paulo, o contrato estimava um investimento de R$ 300 milhões, 360 leitos e uma área construída de 48 mil M².
Disputas internas com relação a OPA continuam, onde a Starboard seria obrigada a realizar por possuir mais de 15% da companhia. A Starboard submeteu uma proposta em setembro para a reorganização da empresa, que foi rejeitada pelos demais acionistas.
A Latache vem acumulando participação na companhia, com 14,9%, e chegou solicitar que a Starboard realiza-se a OPA, que segundo a Latache a Starboard estaria obrigada a realizar. O Banco Master também é acionista da companhia, atualmente com 15%.
O sucesso do aumento de capital de R$ 1-2 bilhões a R$ 3,00 por ação tornou-se condição primordial para evitar violação de covenant e potencial default.
A execução das vendas de ativos, renegociações contratuais e retorno ao foco exclusivo em oncologia podem eventualmente estabilizar as operações, mas o caminho de volta à geração sustentável de caixa e lucratividade permanece incerto e carregado de riscos de execução.
</t>
  </si>
  <si>
    <t>O GPA está em processo de turnaround, mas ainda enfrenta desafios significativos. A empresa demonstrou capacidade de melhorar operações e reduzir dívida, mas a resolução completa dos passivos contingentes e o retorno à lucratividade líquida ainda demandarão tempo.
Em sua história a companhia foi capaz de se reorganizar, no entanto , hoje, com nova liderança, o sucesso dependerá da execução contínua da estratégia premium, e da manutenção da disciplina financeira em ambiente macroeconômico desafiador e de forte concorrência dos Atacarejos e dos mercados regionais, que estão em um momento que vem chamando atenção de outros grupos. Com as marcas Pão de Açucar e Extra,
o grupo se diferenciar dos demais, apostas nos grandes centros urbanos, enquanto tenta absorver um pouco da regionalidade de cada local.
A recuperação do GPA deve levar um tempo considerável, com 2026 sendo um ano chave para a implementação da estratégia atual da companhia de reorganização e maior eficiência
O futuro do GPA depende de múltiplos fatores incertos, como a melhoria econômica brasileira sustentada para suportar gastos dos consumidores premium, resolução favorável de contingências fiscais, estrutura de
societária e diretoria estável, capacidade de refinanciar dívida a taxas razoáveis, e ausência de perdas ou baixas extraordinárias adicionais.
Os próximos 12-24 meses serão críticos para determinar se o GPA pode completar sua recuperação ou exigirá medidas de reestruturação mais drásticas. O 4º trimestre é historicamente crucial, e responsável por 30% das
vendas anuais. O estado atual do GPA representa uma sombra do império que uma vez gerou R$ 65+ bilhões em receita anual e empregou mais de 140 mil pessoas.</t>
  </si>
  <si>
    <t>Duas visões sobre o mesmo ativo:
1. Para o Debenturista, horizonte até 2036: O ativo é um investimento de renda fixa com boa qualidade de crédito, com bom pagador, mas dependente de boa operacionalização. A receita é garantida pelo CCEAR e protegida por garantias reais e uma fiança bancária de qualidade no mínimo AA.
2. Para o Acionista, horizonte até 2043: É uma operação alavancada e que ainda não pode distribuir dividendos, dado os índices de garantia ainda não atingidos. A operação para o investidor do equity tem como base o conceito de baixa utilização da usina.
Do ponto de vista de crédito, a companhia tem se comportado como esperado e ainda tem um caminho a seguir até atingir as métricas onde a Fiança Bancária deixará de ser uma exigência. A companhia opera com
caixa baixo, em relação ao volume de dívidas a pagar, mas conta com a previsibilidade e certeza no recebimento do CCEAR.
As principais tendências que moldam o setor incluem a digitalização (IA, smart grids), a expansão acelerada do Mercado Livre de Energia (ACL), a busca por ESG e novas fontes (como o hidrogênio verde), e o desenvolvimento de armazenamento de energia (baterias)
A Pampa Sul, em seu modelo atual (100% ACR até 2043), está contratualmente isolada de todas essas tendências. Ela opera como um "ativo legado" da era pré-transição</t>
  </si>
  <si>
    <t>A comercialização de Biometano a terceiros deve ser um desafio devido a falta de um time comercial, e do foco da companhia na engenharia, logística, distribuição e operação de usinas. No entanto o Gate fee e GD tem potencial para garantir receitas a companhia para que ela possa explorar a comercialização de Biometano.
A viabilidade da dívida (RGHS11) está precificada para o risco, com um custo (IPCA + 11,00%) que exige perfeição na execução. O pagamento desta dívida depende do sucesso absoluto da expansão de Ouro Verde no prazo de 6 meses e do subsequente ramp-up comercial. As garantias pessoais dos fundadores são o principal mitigador de risco para os credores, mas também a maior bandeira vermelha sobre o risco do ativo isolado.
Para o investidor, o ativo representa uma oportunidade de investir em uma companhia com expertise técnica e em expansão. E os pontos de monitoramento trimestral são claros:
• Avanço nas obras de expansão na planta de Ouro Verde;
• Avanço comercial quanto a comercialização;
• Acompanhamento das receitas da companhia.
O investimento neste ativo representa confiança na capacidade de uma equipe técnica, especializada em engenharia de usinas de biogás, em fazer a transição bem-sucedida para uma operadora e comercializadora de energia de escala. As boas garantias mitigam os riscos.</t>
  </si>
  <si>
    <t>A operação do CRI 84ª Emissão representa um caso claro de risco corporativo materializado.
A fragilidade de um único devedor demonstra que maior transferência é necessária nestes tipos de operação. A companhia hoje pode ser considerada uma companhia “distressed”, com consequência para as dívidas da
companhia no mercado.
O investimento está agora exposto à liquidez dos ativos garantidores, e à eficácia do processo judicial/extrajudicial de excussão de garantias. A companhia ainda pode monetizar os ativos livres da companhia e realizar os pagamentos aos credores, no entanto o plano iniciado em setembro, dado a especificidade dos ativos, deve-se levar um tempo até a sua conclusão, assumindo que o plano seja bem sucedido.
Ocorre também que informações abrangentes sobre a companhia são mais difíceis de se obter, no passado recente havia falta de clareza e transparência quanto as informações disponibilizadas aos investidores. Muito da análise de Cotribá é realizada por “procuração”, onde é feita uma pesquisa de outras operações da companhia para termos uma noção de como está a saúde financeira da companhia.</t>
  </si>
  <si>
    <t>Banco de Brasilia - BRB</t>
  </si>
  <si>
    <t>Os testes foram conduzidos de forma a entender como o banco se comportaria com movimentos extremos, até o momento não temos uma definição de qual seria o impacto real na liquidez banco. Com a Reversão dos Créditos fraudulentos ao Banco Master, a exposição do BRB é reduzida consideravelmente, mantendo assim a liquidez do banco.
De todo modo, a crise do BRB não é fruto de risco de mercado ou de crédito tradicional, mas de uma falha massiva de Governança Corporativa. A análise dos eventos indica o colapso das "Três Linhas de Defesa“ bancária: Gestão, Compliance/Risco e Auditoria.
A decisão judicial de afastar o Presidente do BRB e o Diretor de Finanças e Controladoria por 60 dias pode ter partido do principio de que houve algo além de falhas no processo de auditoria e decisão do banco.
Instrumentalização do Banco Público: O caso reacende o debate sobre o risco moral de bancos estatais. A busca desenfreada pelo crescimento de ativos (meta de R$ 225 bilhões em 2030) pode ter criado incentivos para a aceitação de riscos excessivos. A gestão parece ter priorizado a expansão do balanço via aquisições inorgânicas, e duvidosas, em detrimento da prudência bancária.
O mercado financeiro antecipa a deterioração antes mesmo da oficialização contábil. A "Operação Compliance Zero" já provocou algumas reações:
• A Fitch Ratings colocou o banco sob “Rating Watch”, que ocorre quando a Fitch está reavaliando o rating de determinado emissor.
• Existe a possibilidade que o perca o “Investment Grade”.
• Rating de Longo Prazo, atualmente em BBB(bra)
• Rating de Curto Prazo para Instituições Financeiras, atualmente em F2 (Este Rating é uma escala de F1 até F5, sendo F5 o nível mais baixo)
Antes da reversão dos créditos ao Banco Master, segundo informações ordenada pelo BCB, a simulação de estresse baseada nos dados da "Operação Compliance Zero" apontava o cenário 2 como mais provável de materialização de perdas para o Banco de Brasília (BRB), com perdas estimadas em R$ 6,7 bilhões.
Neste cenário, o banco enfrentaria uma situação de insolvência técnica. Perdas inferiores a R$ 6,7 bilhões poderiam ser absorvidas pela instituição com maior facilidade, enquanto valores superiores comprometiam definitivamente sua solvência. Continuamos a monitorar a companhia.</t>
  </si>
  <si>
    <t>A repactuação do CRI demonstra que existem problemas estruturais dentro da operação com falta de alinhamento entre o fluxo de obras, comercial e financeiro.
A operação que o CRI financiou aparenta ser de longa maturação, incluindo as vendas de estoque remanescentes. O mecanismo de full cash sweep visa priorizar o pagamento aos investidores conforme os recursos entrarem no patrimônio separado, no entanto, se não houver uma melhora nos resultados da operação é de se esperar que ocorra uma nova repactuação.
A necessidade de repactuação do CRI BAIT decorre de múltiplos fatores convergentes:
• O atraso na evolução das obras;
• Atraso do Habite-se;
• Fragilidade financeira da Gafisa impossibilitou injeção de capital
O CRI naturalmente tem uma dependência na eficácia das promoções de venda e sucesso na realização dos repasses do empreendimento, SPE Arpoador.
Em caso extremo, o “aval” da Gafisa S.A não eleva a confiança, e neste sentido a estrutura do CRI fornece mais confiança do que a situação atual do controlador. Adicionalmente, as disputas com a Gestora Galt possuem a capacidade de comprometer o caixa atual da companhia. Uma das condições de venda era o repasse de parte do desempenho da carteira a Gestora, o que não vem ocorrendo.
Temos cobrado a Opea Securitizadora quanto o envio de informações da carteira de créditos e do monitoramento do avanço-físico financeiro, porém, sem sucesso até o momento. Mesmo após várias tentativas de contatos</t>
  </si>
  <si>
    <t>A Eldorado Celulose atravessou um período de cinco anos de paralisia operacional e estratégica em decorrência da disputa societária entre J&amp;F e Paper Excellence.
A resolução do litígio, com a aquisição pela J&amp;F da participação da Paper Excellence via LBO, encerrou a incerteza jurídica, porém comprometeu temporariamente os índices de endividamento da companhia, historicamente conservadores, com raros momentos acima de 3x Dívida Líquida/EBITDA.
A preocupação mais imediata reside nos vencimentos concentrados em 2027 e 2028. A companhia deverá executar rolagens, e o caixa atual é suficiente apenas para cobrir os compromissos de 2026 e realizar os aportes iniciais do Projeto Vanguarda 2.0.
O Projeto Vanguarda 2.0, com CAPEX estimado em R$ 25 bilhões, representa simultaneamente a principal alavanca de crescimento e o maior fator de risco de crédito. A viabilidade do projeto está intrinsecamente atrelada aos preços internacionais da celulose, sujeitando a companhia a:
I. performance de engenharia e custos de obra:
II. volatilidade da commodity no mercado internacional e tensões geopolíticas; e
III. crescimento da oferta local nos principais mercados consumidores (EUA e China).
Como contrapartida, a J&amp;F figura entre as maiores holdings do país, com histórico comprovado de acesso ao
mercado de capitais, o que mitiga parcialmente o risco de refinanciamento e de captação para o projeto.
Não identificamos risco imediato de deterioração, mas o caso requer monitoramento atento em função da elevada alavancagem prospectiva, da necessidade de execução do CAPEX nos próximos anos e da volatilidade recente nos preços da celulose.
A Moody’s colocou o rating em perspectiva negativa devido a elevada alavancagem. A Fitch atribuiu um viés estável a companhia.</t>
  </si>
  <si>
    <t>A Isa Energia Brasil apresenta uma segurança operacional em um setor que já é defensivo, mas que exige do investidor uma compreensão sofisticada de sua dinâmica de capital. Não é mais a empresa "estática" de 2018-2020. É uma empresa em transformação, alavancando seu balanço e experiência técnica para renovar seu portfólio antes que a indenização da RBSE expire.
As modernizações das antigas redes de distribuição, com aplicação do sistemas FACTS, somado as novas redes de transmissão possuem potencial de terem um multiplicador maior do que simplesmente estar disponível. O sistema de gerenciamento pode realizar a movimentação estratégica de energia elétrica entre as redes, aumento assim a disponibilidade das redes.
A atenção aqui deve se concentrar na pontual conclusão das obras de manutenção e das entregas das novas torres de transmissão, dado que serão exatamente as receitas adicionais originadas destes investimentos que devem substituir a perda de receita com o encerramento da RBSE em 2028.
Um ponto de atenção adicional é a disputa contra a Secretaria da Fazenda do estado de São Paulo, este litígio é relacionado a processos de ex-funcionário da antiga CESP. A CTEEP foi obrigada a pagar a aposentadoria de exfuncionários da CESP, a soma dos pagamentos realizados é de cerca de R$ 1,6 bilhão. O processo manifestado pela Isa Energia requer o reembolso deste valor.
Historicamente é uma sólida companhia para o investidor que busca pagamentos de dividendos dos ativos, e se os investimentos e modernizações ocorrerem conforme o planejado, está é uma tendencia que deverá continuar no médio-longo prazo.</t>
  </si>
  <si>
    <t>O terceiro trimestre de 2025 da Minerva Foods foi marcado por resultados financeiros e operacionais sólidos, incluindo diversos recordes, refletindo a conclusão da integração de novos ativos e ganhos de eficiência.
Processo de integração do ativos adquiridos da Marfrig foi concluído, a partir de agora espera-se ainda mais ganhos de escala e eficiência. Em resumo, o 3T25 foi um trimestre de performance operacional e financeira recorde para a Minerva Foods, com forte geração de caixa e melhora na alavancagem, impulsionado pela conclusão e consolidação da integração de novos ativos. Não houve grandes novidades no último trimestre.
Vale relembrar que o 2º trimestre da Minerva Foods foi melhor resultado trimestral da história da companhia, com EBITDA, receita líquida e lucro líquido em patamares recordes. Possui solida posição de caixa, com meta de desalavancagem no curto prazo.
Projeções para o futuro próximo incluem:
• Normalização do Ebitda em 9%;
• Expansão no sudeste asiático e Japão;
• Continuação do cenário de limitação de abates nos EUA;
• Redução de alavancagem no médio prazo;
• Projeto RLB (Regenerative Live Stock/Pecuária Regenerativa) em fase de validação técnica.</t>
  </si>
  <si>
    <t>Pós fusão, e sob controle da Brookfield, hoje a Unidas é a terceira maior do setor em número de ativos, mas com atuação em segmentos que a diferencia das duas maiores do setor, Localiza e Movida. A Unidas tem margens superiores as duas companhias quando considerado a eficiência operacional, EBITDA. Isto demonstra uma melhor utilização dos ativos da companhia.
Os contratos de Gestão e Terceirização de Frotas (GTF) fornecem certa previsibilidade de caixa para a companhia, os contratos de GTF possuem prazos de prestação dos serviços que variam de 20 a 80 meses, com a maioria entre 20 e 48 meses. Os contratos de GTF correspondem a mais de 56% da receita operacional da companhia.
Grande parte do resultado da companhia nos 9 meses de 2025 vieram da venda de ativos, veículos usados. O resultado caixa da operação de venda de ativos teve resultado positivo nos 9 meses de 2025. Considerando a eficiência operacional e boa estratégia com as vendas de ativos, a Unidas possui vantagens consideráveis nestes dois processos.
No entanto, o custo da dívida é hoje o principal detrator de resultado da companhia. A alavancagem em queda não reflete uma diminuição da dívida, mas sim um ganho operacional. A dívida em termos nominais é crescente.
A alavancagem hoje está em, 3,3x o EBITDA. As reservas atuais cobrem os pagamentos até 2027, de forma parcial:
• Cobertura da totalidade dos pagamentos das dividas em 2026
• Cobertura de cerca de 2/3 dos compromissos com os credores em 2027
Como exercício, criamos um “Ebitda ajustado”, onde em resultado de venda de veículos é atribuído ao resultado operacional. E com isso teríamos uma alavancagem de 1,24x. A companhia tem gerado lucro líquido ajustado, quando se considera todos os resultados da companhia, mas também tem realizado CAPEX para renovação de frota. A Unidas é uma companhia com margens boas, mas que tem a lucratividade totalmente dependente do nível de juros e do volume de endividamento.</t>
  </si>
  <si>
    <t>A Vicunha Têxtil atravessa um cenário operacional adverso, caracterizado por paralisações temporárias em unidades fabris e por uma retomada produtiva aquém do esperado, com impactos negativos sobre a geração de caixa operacional. O elevado nível de endividamento tem comprometido parcela substancial do EBITDA, pressionando a capacidade de serviço da dívida.
Recentemente, a companhia formalizou pedido de waiver preventivo junto aos credores em função do descumprimento projetado do covenant de alavancagem, acompanhado de solicitação para revisão dos parâmetros contratuais. A natureza do pleito, preventivo e com proposta de renegociação da métrica sinaliza que a administração não projeta uma violação pontual, mas sim a manutenção de níveis de alavancagem elevados por horizonte prolongado.
Em análise de forma isolada, a Vicunha Têxtil apresenta desafios operacionais e financeiros relevantes para o exercício de 2026. Cabe ressaltar, contudo, que os acionistas controladores, Família Steinbruch, detêm reconhecida solidez patrimonial, sendo também controladores da CSN S.A.
Entre os principais fatores de atenção para 2026, destacam-se:
1. A necessidade de recomposição das margens operacionais, em trajetória declinante desde 2021; e
2. o cronograma de amortizações de principal previsto para o período.
Diante do cenário atual, com vistas à mitigação de potenciais eventos de estresse nos instrumentos de dívida da companhia, recomenda-se a redução gradual da exposição ao crédito Vicunha.</t>
  </si>
  <si>
    <t>A Enel SP encontra-se em uma posição delicada, onde a gestão de ativos regulatórios (RAB) se torna uma ferramenta de defesa corporativa.
A RAB da Enel SP é um direito sólido, garantido pela lei que rege as concessões, mas em caso de caducidade, ela se transforma em uma moeda de troca em um litígio complexo. O risco para a Enel não é a perda total do ativo, mas a imobilização de capital e a erosão de valor por passivos regulatórios. A Enel SP foi autuada em mais de R$ 375 milhões pela ANEEL e R$ 75 milhões pelo Procon-SP , considerando o período de 2019-2025, 92% dessas multas ainda estão em aberto, e afetaria o valor líquido a ser recebido pela indenização da RAB.
Afim de evitar estresses de marcação dos títulos da Eletropaulo no secundário e possível erosão de valor causadas por passivos regulatórios, no inicio de Novembro 25, havíamos alertado sobre o risco de não renovação e orientamos que seria prudente a redução de exposição.
Aos investidores que estiverem dispostos a manter o ativo, mesmo em condições de marcação negativa:
• A opção mais prudente nos parece ser aguardar o vencimento e amortização. Principalmente para os ativos curtos, como as com vencimentos em 2026. Dado que a companhia fará jus a indenização, caso o contrato venha a ser realmente cancelado, conforme descrito na página 4, onde abordamos a caducidade do contrato.
Uma situação que apresenta risco a esta estratégia é o caso, aparentemente remoto, de um pedido de Recuperação Judicial da Enel Brasil. De possibilidade remota pois companhia tem bons números e as dividas da Eletropaulo tendem a permanecer no balanço da Eletropaulo em caso de perda da concessão, sendo assim transferidas em conjunto à nova empresa concessionária.</t>
  </si>
  <si>
    <t>Recuperação e Garantias
Diante do vencimento antecipado, a análise migra do "Fluxo de Caixa" para o "Valor de Liquidação de Ativos“:  Imóvel em São José dos Pinhais - PR
• Este é o principal mitigante de perda para os CRIs;
• Avaliação: O laudo aponta R$ 192 milhões.
• Proposta Executada: R$ 185 milhões.
O valor do imóvel em R$ 192 milhões é o valor referencia para um venda oportunística, e não uma venda forçada de liquidação. 
A situação do CRA
Para o CRA, que é uma operação complexa, nada muda. A Operação possui Aval da PEZA, que continua a realizar os pagamentos do CRA. A operação não possui acesso direto ao imóvel mencionado na recuperação dos CRIs. Alguns dos riscos inerentes a este CRA:
• Depreciação: Máquinas paradas depreciam. O custo de apreensão e venda é alto (comissões de leiloeiro, custos judiciais).
• Perspectiva de Recuperação: Analistas de mercado estimam recuperações na faixa de 30% a 50% para quirografários ou garantias móveis em casos similares, e em prazos longos (3 a 5 anos).
• Concorrência: O mercado de usados já está abastecido. Despejar centenas de máquinas da AIZ em leilão deprimirá ainda mais os preços, reduzindo o valor recuperado.
• AVAL PESA (Paraná Equipamentos): A qualidade deste aval reside na solidez operacional da companhia.
A PESA não é apenas uma subsidiária qualquer, ela é uma histórica revendedora oficial de máquinas Caterpillar (uma das marcas mais valorizadas do setor) na região Sul. Faz parte do Grupo AIZ. 
Conclusão Final
O caso Grupo AIZ serve como um alerta severo sobre os riscos de crédito privado High Yield no Brasil. Para o investidor posicionado, a estratégia racional neste momento é o pragmatismo:
• Apoiar a venda dos ativos, principalmente no caso do CRI II, pois não será quitado integramente com a venda do= ativo pertencente ao CRI I, e ainda será necessária nova AGD para definir o futuro deste CRI.
• Tentativas de "brigar" pela integralidade dos juros e multas provavelmente empurrará a empresa para uma Recuperação Judicial destrutiva de valor.
• Os ativos devem ser tratados como créditos de liquidação, não mais como instrumentos de renda fixa.</t>
  </si>
  <si>
    <t>Travar uma taxa de IPCA + 10% por 11 anos em uma empresa com governança até então questionável, e com ressalva de auditoria, é um risco de crédito incompatível com a taxa. Por que a Itaminas quer isso:
• Economia de R$ 10 MM/ano em tarifa de energia
• Suportar expansão de produção de 6,5 → 15,5 milhões ton/ano
• Migração tarifária A4 → A2 com energia mais estável
• Aumento do teor de ferro de 62% para 67%, preços maiores no mercado.
A estrutura tem um ponto de falha central: A transferência total do risco para a Itaminas após a obra.
Houve ressalva de auditoria relevante, no valor de R$ 238 milhões, em 2023, e que foram baixados em 2024 sem maiores explicações. O saneamento contábil recente sem injeção de caixa, além disso, há ênfases sobre transações com partes relacionadas em montantes significativos.
A probabilidade de reestruturação ao longo de 11 anos é de média para alta. Isto sem mencionar a possibilidade de default, e necessidade de execução de garantias.
Considerando o mercado após a liquidação, a atratividade deste papel se baseia na possibilidade de uma redução significativa da Taxa Selic, gerando assim demanda no mercado secundário por fundos de investimento do Tipo FI-Infra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</si>
</sst>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Aptos Narrow"/>
    </font>
    <font>
      <b/>
      <sz val="11"/>
      <name val="Aptos Narrow"/>
      <family val="2"/>
    </font>
    <font>
      <sz val="11"/>
      <name val="Aptos Narrow"/>
      <family val="2"/>
    </font>
    <font>
      <b/>
      <sz val="11"/>
      <color theme="9" tint="-0.249977111117893"/>
      <name val="Aptos Narrow"/>
      <family val="2"/>
    </font>
    <font>
      <i/>
      <sz val="10"/>
      <name val="Aptos Narrow"/>
      <family val="2"/>
    </font>
    <font>
      <b/>
      <sz val="11"/>
      <color rgb="FFFFC000"/>
      <name val="Aptos Narrow"/>
      <family val="2"/>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right/>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left"/>
    </xf>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xf numFmtId="14" fontId="0" fillId="0" borderId="0" xfId="0" applyNumberFormat="1" applyAlignment="1">
      <alignment horizontal="center"/>
    </xf>
    <xf numFmtId="0" fontId="1" fillId="0" borderId="0" xfId="0" applyFont="1" applyAlignment="1">
      <alignment horizontal="left"/>
    </xf>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cellXfs>
  <cellStyles count="1">
    <cellStyle name="Normal" xfId="0" builtinId="0"/>
  </cellStyles>
  <dxfs count="5">
    <dxf>
      <font>
        <color rgb="FFFF0000"/>
      </font>
    </dxf>
    <dxf>
      <font>
        <b/>
        <i val="0"/>
        <color theme="5" tint="-0.24994659260841701"/>
      </font>
    </dxf>
    <dxf>
      <font>
        <b/>
        <i val="0"/>
        <color theme="2" tint="-0.499984740745262"/>
      </font>
    </dxf>
    <dxf>
      <font>
        <b/>
        <i val="0"/>
        <color theme="9" tint="-0.24994659260841701"/>
      </font>
    </dxf>
    <dxf>
      <font>
        <b/>
        <i val="0"/>
        <color theme="4" tint="0.399945066682943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0D7BC-A621-4779-A7C3-78A123A0F851}">
  <sheetPr codeName="Planilha3"/>
  <dimension ref="A1:H28"/>
  <sheetViews>
    <sheetView showGridLines="0" tabSelected="1" workbookViewId="0">
      <selection activeCell="A3" sqref="A3"/>
    </sheetView>
  </sheetViews>
  <sheetFormatPr defaultRowHeight="14.4"/>
  <cols>
    <col min="1" max="1" width="30.5546875" style="4" customWidth="1"/>
    <col min="2" max="2" width="27.6640625" style="4" customWidth="1"/>
    <col min="3" max="3" width="15.44140625" customWidth="1"/>
    <col min="4" max="4" width="14.5546875" customWidth="1"/>
    <col min="5" max="5" width="43" style="3" bestFit="1" customWidth="1"/>
    <col min="6" max="6" width="55.44140625" customWidth="1"/>
    <col min="8" max="8" width="27.77734375" style="4" bestFit="1" customWidth="1"/>
  </cols>
  <sheetData>
    <row r="1" spans="1:8">
      <c r="A1" s="1" t="s">
        <v>0</v>
      </c>
      <c r="B1" s="1" t="s">
        <v>1</v>
      </c>
      <c r="C1" s="1" t="s">
        <v>2</v>
      </c>
      <c r="D1" s="1" t="s">
        <v>3</v>
      </c>
      <c r="E1" s="2" t="s">
        <v>4</v>
      </c>
      <c r="F1" s="1" t="s">
        <v>5</v>
      </c>
    </row>
    <row r="2" spans="1:8">
      <c r="A2" s="5" t="s">
        <v>7</v>
      </c>
      <c r="B2" s="6" t="s">
        <v>8</v>
      </c>
      <c r="C2" s="7">
        <v>45953</v>
      </c>
      <c r="D2" s="4">
        <v>76</v>
      </c>
      <c r="E2" s="8" t="s">
        <v>9</v>
      </c>
      <c r="F2" t="s">
        <v>48</v>
      </c>
    </row>
    <row r="3" spans="1:8">
      <c r="A3" s="5" t="s">
        <v>10</v>
      </c>
      <c r="B3" s="6" t="s">
        <v>8</v>
      </c>
      <c r="C3" s="7">
        <v>45954</v>
      </c>
      <c r="D3" s="4">
        <v>74</v>
      </c>
      <c r="E3" s="8" t="s">
        <v>11</v>
      </c>
      <c r="F3" t="s">
        <v>49</v>
      </c>
    </row>
    <row r="4" spans="1:8">
      <c r="A4" s="5" t="s">
        <v>12</v>
      </c>
      <c r="B4" s="6" t="s">
        <v>8</v>
      </c>
      <c r="C4" s="7">
        <v>46010</v>
      </c>
      <c r="D4" s="4">
        <v>72</v>
      </c>
      <c r="E4" s="8" t="s">
        <v>11</v>
      </c>
      <c r="F4" t="s">
        <v>50</v>
      </c>
    </row>
    <row r="5" spans="1:8">
      <c r="A5" s="5" t="s">
        <v>13</v>
      </c>
      <c r="B5" s="6" t="s">
        <v>8</v>
      </c>
      <c r="C5" s="7">
        <v>45957</v>
      </c>
      <c r="D5" s="4">
        <v>70</v>
      </c>
      <c r="E5" s="8" t="s">
        <v>11</v>
      </c>
      <c r="F5" t="s">
        <v>51</v>
      </c>
    </row>
    <row r="6" spans="1:8">
      <c r="A6" s="5" t="s">
        <v>15</v>
      </c>
      <c r="B6" s="6" t="s">
        <v>16</v>
      </c>
      <c r="C6" s="7">
        <v>45957</v>
      </c>
      <c r="D6" s="9" t="s">
        <v>14</v>
      </c>
      <c r="E6" s="8" t="s">
        <v>17</v>
      </c>
      <c r="F6" t="s">
        <v>57</v>
      </c>
    </row>
    <row r="7" spans="1:8">
      <c r="A7" s="5" t="s">
        <v>19</v>
      </c>
      <c r="B7" s="6" t="s">
        <v>16</v>
      </c>
      <c r="C7" s="7">
        <v>45957</v>
      </c>
      <c r="D7" s="9" t="s">
        <v>14</v>
      </c>
      <c r="E7" s="8" t="s">
        <v>20</v>
      </c>
      <c r="F7" t="s">
        <v>56</v>
      </c>
      <c r="H7" s="5"/>
    </row>
    <row r="8" spans="1:8">
      <c r="A8" s="5" t="s">
        <v>21</v>
      </c>
      <c r="B8" s="6" t="s">
        <v>8</v>
      </c>
      <c r="C8" s="7">
        <v>45958</v>
      </c>
      <c r="D8" s="4">
        <v>80</v>
      </c>
      <c r="E8" s="8" t="s">
        <v>9</v>
      </c>
      <c r="F8" t="s">
        <v>52</v>
      </c>
      <c r="H8" s="5"/>
    </row>
    <row r="9" spans="1:8">
      <c r="A9" s="5" t="s">
        <v>22</v>
      </c>
      <c r="B9" s="6" t="s">
        <v>8</v>
      </c>
      <c r="C9" s="7">
        <v>45959</v>
      </c>
      <c r="D9" s="4">
        <v>80</v>
      </c>
      <c r="E9" s="8" t="s">
        <v>9</v>
      </c>
      <c r="F9" t="s">
        <v>53</v>
      </c>
      <c r="H9" s="5"/>
    </row>
    <row r="10" spans="1:8">
      <c r="A10" s="5" t="s">
        <v>23</v>
      </c>
      <c r="B10" s="6" t="s">
        <v>8</v>
      </c>
      <c r="C10" s="7">
        <v>45959</v>
      </c>
      <c r="D10" s="9" t="s">
        <v>14</v>
      </c>
      <c r="E10" s="10" t="s">
        <v>14</v>
      </c>
      <c r="F10" t="s">
        <v>58</v>
      </c>
    </row>
    <row r="11" spans="1:8">
      <c r="A11" s="5" t="s">
        <v>24</v>
      </c>
      <c r="B11" s="6" t="s">
        <v>8</v>
      </c>
      <c r="C11" s="7">
        <v>45964</v>
      </c>
      <c r="D11" s="4">
        <v>75</v>
      </c>
      <c r="E11" s="8" t="s">
        <v>11</v>
      </c>
      <c r="F11" t="s">
        <v>54</v>
      </c>
    </row>
    <row r="12" spans="1:8">
      <c r="A12" s="4" t="s">
        <v>25</v>
      </c>
      <c r="B12" s="6" t="s">
        <v>16</v>
      </c>
      <c r="C12" s="7">
        <v>45965</v>
      </c>
      <c r="D12" s="9" t="s">
        <v>14</v>
      </c>
      <c r="E12" s="8" t="s">
        <v>20</v>
      </c>
      <c r="F12" t="s">
        <v>55</v>
      </c>
    </row>
    <row r="13" spans="1:8">
      <c r="A13" s="5" t="s">
        <v>26</v>
      </c>
      <c r="B13" s="6" t="s">
        <v>8</v>
      </c>
      <c r="C13" s="7">
        <v>45967</v>
      </c>
      <c r="D13" s="4">
        <v>61</v>
      </c>
      <c r="E13" s="8" t="s">
        <v>27</v>
      </c>
      <c r="F13" t="s">
        <v>59</v>
      </c>
    </row>
    <row r="14" spans="1:8">
      <c r="A14" s="5" t="s">
        <v>28</v>
      </c>
      <c r="B14" s="6" t="s">
        <v>8</v>
      </c>
      <c r="C14" s="7">
        <v>45971</v>
      </c>
      <c r="D14" s="4">
        <v>63</v>
      </c>
      <c r="E14" s="8" t="s">
        <v>29</v>
      </c>
      <c r="F14" t="s">
        <v>60</v>
      </c>
    </row>
    <row r="15" spans="1:8">
      <c r="A15" s="5" t="s">
        <v>30</v>
      </c>
      <c r="B15" s="6" t="s">
        <v>16</v>
      </c>
      <c r="C15" s="7">
        <v>45974</v>
      </c>
      <c r="D15" s="9" t="s">
        <v>14</v>
      </c>
      <c r="E15" s="8" t="s">
        <v>31</v>
      </c>
      <c r="F15" t="s">
        <v>14</v>
      </c>
    </row>
    <row r="16" spans="1:8">
      <c r="A16" s="5" t="s">
        <v>32</v>
      </c>
      <c r="B16" s="6" t="s">
        <v>8</v>
      </c>
      <c r="C16" s="7">
        <v>45975</v>
      </c>
      <c r="D16" s="4">
        <v>79</v>
      </c>
      <c r="E16" s="8" t="s">
        <v>20</v>
      </c>
      <c r="F16" t="s">
        <v>61</v>
      </c>
    </row>
    <row r="17" spans="1:6">
      <c r="A17" s="5" t="s">
        <v>33</v>
      </c>
      <c r="B17" s="6" t="s">
        <v>16</v>
      </c>
      <c r="C17" s="7">
        <v>45979</v>
      </c>
      <c r="D17" s="9" t="s">
        <v>14</v>
      </c>
      <c r="E17" s="8" t="s">
        <v>34</v>
      </c>
      <c r="F17" t="s">
        <v>62</v>
      </c>
    </row>
    <row r="18" spans="1:6">
      <c r="A18" s="5" t="s">
        <v>35</v>
      </c>
      <c r="B18" s="6" t="s">
        <v>16</v>
      </c>
      <c r="C18" s="7">
        <v>45980</v>
      </c>
      <c r="D18" s="9" t="s">
        <v>14</v>
      </c>
      <c r="E18" s="8" t="s">
        <v>36</v>
      </c>
      <c r="F18" t="s">
        <v>63</v>
      </c>
    </row>
    <row r="19" spans="1:6">
      <c r="A19" s="5" t="s">
        <v>64</v>
      </c>
      <c r="B19" s="6" t="s">
        <v>8</v>
      </c>
      <c r="C19" s="7">
        <v>45985</v>
      </c>
      <c r="D19" s="9" t="s">
        <v>14</v>
      </c>
      <c r="E19" s="11" t="s">
        <v>37</v>
      </c>
      <c r="F19" t="s">
        <v>65</v>
      </c>
    </row>
    <row r="20" spans="1:6">
      <c r="A20" s="5" t="s">
        <v>38</v>
      </c>
      <c r="B20" s="6" t="s">
        <v>8</v>
      </c>
      <c r="C20" s="7">
        <v>45988</v>
      </c>
      <c r="D20" s="4">
        <v>51</v>
      </c>
      <c r="E20" s="8" t="s">
        <v>27</v>
      </c>
      <c r="F20" t="s">
        <v>66</v>
      </c>
    </row>
    <row r="21" spans="1:6">
      <c r="A21" s="5" t="s">
        <v>39</v>
      </c>
      <c r="B21" s="6" t="s">
        <v>8</v>
      </c>
      <c r="C21" s="7">
        <v>45992</v>
      </c>
      <c r="D21" s="4">
        <v>79</v>
      </c>
      <c r="E21" s="8" t="s">
        <v>40</v>
      </c>
      <c r="F21" t="s">
        <v>67</v>
      </c>
    </row>
    <row r="22" spans="1:6">
      <c r="A22" s="5" t="s">
        <v>41</v>
      </c>
      <c r="B22" s="6" t="s">
        <v>8</v>
      </c>
      <c r="C22" s="7">
        <v>45996</v>
      </c>
      <c r="D22" s="4">
        <v>94</v>
      </c>
      <c r="E22" s="8" t="s">
        <v>20</v>
      </c>
      <c r="F22" t="s">
        <v>68</v>
      </c>
    </row>
    <row r="23" spans="1:6">
      <c r="A23" s="5" t="s">
        <v>42</v>
      </c>
      <c r="B23" s="6" t="s">
        <v>8</v>
      </c>
      <c r="C23" s="7">
        <v>45999</v>
      </c>
      <c r="D23" s="4">
        <v>74</v>
      </c>
      <c r="E23" s="8" t="s">
        <v>20</v>
      </c>
      <c r="F23" t="s">
        <v>69</v>
      </c>
    </row>
    <row r="24" spans="1:6">
      <c r="A24" s="5" t="s">
        <v>43</v>
      </c>
      <c r="B24" s="6" t="s">
        <v>8</v>
      </c>
      <c r="C24" s="7">
        <v>46001</v>
      </c>
      <c r="D24" s="4">
        <v>79</v>
      </c>
      <c r="E24" s="8" t="s">
        <v>40</v>
      </c>
      <c r="F24" t="s">
        <v>70</v>
      </c>
    </row>
    <row r="25" spans="1:6">
      <c r="A25" s="5" t="s">
        <v>44</v>
      </c>
      <c r="B25" s="6" t="s">
        <v>8</v>
      </c>
      <c r="C25" s="7">
        <v>46006</v>
      </c>
      <c r="D25" s="4">
        <v>61</v>
      </c>
      <c r="E25" s="11" t="s">
        <v>37</v>
      </c>
      <c r="F25" t="s">
        <v>71</v>
      </c>
    </row>
    <row r="26" spans="1:6">
      <c r="A26" s="4" t="s">
        <v>45</v>
      </c>
      <c r="B26" s="6" t="s">
        <v>8</v>
      </c>
      <c r="C26" s="7">
        <v>46008</v>
      </c>
      <c r="D26" s="4">
        <v>64</v>
      </c>
      <c r="E26" s="8" t="s">
        <v>27</v>
      </c>
      <c r="F26" t="s">
        <v>72</v>
      </c>
    </row>
    <row r="27" spans="1:6">
      <c r="A27" s="5" t="s">
        <v>46</v>
      </c>
      <c r="B27" s="6" t="s">
        <v>16</v>
      </c>
      <c r="C27" s="7">
        <v>46013</v>
      </c>
      <c r="D27" s="9" t="s">
        <v>14</v>
      </c>
      <c r="E27" s="8" t="s">
        <v>27</v>
      </c>
      <c r="F27" t="s">
        <v>74</v>
      </c>
    </row>
    <row r="28" spans="1:6">
      <c r="A28" s="5" t="s">
        <v>47</v>
      </c>
      <c r="B28" s="6" t="s">
        <v>16</v>
      </c>
      <c r="C28" s="7">
        <v>38716</v>
      </c>
      <c r="D28" s="9" t="s">
        <v>14</v>
      </c>
      <c r="E28" s="8" t="s">
        <v>27</v>
      </c>
      <c r="F28" t="s">
        <v>73</v>
      </c>
    </row>
  </sheetData>
  <conditionalFormatting sqref="B2:B1048576">
    <cfRule type="containsText" dxfId="4" priority="5" operator="containsText" text="Emissão">
      <formula>NOT(ISERROR(SEARCH("Emissão",B2)))</formula>
    </cfRule>
  </conditionalFormatting>
  <conditionalFormatting sqref="E2:E1048576">
    <cfRule type="containsText" dxfId="3" priority="1" operator="containsText" text="Positivo">
      <formula>NOT(ISERROR(SEARCH("Positivo",E2)))</formula>
    </cfRule>
    <cfRule type="containsText" dxfId="2" priority="2" operator="containsText" text="Neutro,">
      <formula>NOT(ISERROR(SEARCH("Neutro,",E2)))</formula>
    </cfRule>
    <cfRule type="containsText" dxfId="1" priority="3" operator="containsText" text="Requer Atenção">
      <formula>NOT(ISERROR(SEARCH("Requer Atenção",E2)))</formula>
    </cfRule>
    <cfRule type="containsText" dxfId="0" priority="4" operator="containsText" text="Negativo">
      <formula>NOT(ISERROR(SEARCH("Negativo",E2)))</formula>
    </cfRule>
  </conditionalFormatting>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08E6C-3916-49B6-B0A2-F57CA4A867CE}">
  <dimension ref="A1:D5"/>
  <sheetViews>
    <sheetView showGridLines="0" workbookViewId="0">
      <selection activeCell="D1" sqref="D1"/>
    </sheetView>
  </sheetViews>
  <sheetFormatPr defaultRowHeight="14.4"/>
  <cols>
    <col min="1" max="1" width="26.109375" bestFit="1" customWidth="1"/>
    <col min="4" max="4" width="20.88671875" bestFit="1" customWidth="1"/>
  </cols>
  <sheetData>
    <row r="1" spans="1:4">
      <c r="A1" s="3" t="s">
        <v>6</v>
      </c>
      <c r="D1" s="3" t="s">
        <v>18</v>
      </c>
    </row>
    <row r="2" spans="1:4">
      <c r="A2" s="5"/>
    </row>
    <row r="3" spans="1:4">
      <c r="A3" s="5"/>
    </row>
    <row r="4" spans="1:4">
      <c r="A4" s="5"/>
    </row>
    <row r="5" spans="1:4">
      <c r="A5" s="4"/>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Relatórios de Crédito</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Filip Bueno Zanichelli</dc:creator>
  <cp:lastModifiedBy>Jose Filip Bueno Zanichelli</cp:lastModifiedBy>
  <dcterms:created xsi:type="dcterms:W3CDTF">2026-01-06T14:22:29Z</dcterms:created>
  <dcterms:modified xsi:type="dcterms:W3CDTF">2026-01-06T19:27:50Z</dcterms:modified>
</cp:coreProperties>
</file>